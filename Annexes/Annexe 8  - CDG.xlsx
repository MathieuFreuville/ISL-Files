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on Drive\2. Papa\_ISL\_TFE GOUV\_Mine\Annexes\"/>
    </mc:Choice>
  </mc:AlternateContent>
  <xr:revisionPtr revIDLastSave="0" documentId="13_ncr:1_{3A07E253-6204-4C43-9CFD-390F94F03ED3}" xr6:coauthVersionLast="47" xr6:coauthVersionMax="47" xr10:uidLastSave="{00000000-0000-0000-0000-000000000000}"/>
  <bookViews>
    <workbookView xWindow="28680" yWindow="555" windowWidth="29040" windowHeight="15720" xr2:uid="{A1B02553-7CA0-4803-B9D7-A94D4F084617}"/>
  </bookViews>
  <sheets>
    <sheet name="CDG et inert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G16" i="2"/>
  <c r="G7" i="2"/>
  <c r="C14" i="2"/>
  <c r="C17" i="2"/>
  <c r="G15" i="2" s="1"/>
  <c r="F8" i="2"/>
  <c r="G12" i="2"/>
  <c r="G11" i="2"/>
  <c r="C11" i="2"/>
  <c r="E9" i="2"/>
  <c r="G10" i="2" s="1"/>
  <c r="C9" i="2"/>
  <c r="G8" i="2"/>
  <c r="E6" i="2"/>
  <c r="C6" i="2"/>
  <c r="D6" i="2" s="1"/>
  <c r="C5" i="2"/>
  <c r="C4" i="2"/>
  <c r="D4" i="2" s="1"/>
  <c r="F6" i="2" l="1"/>
  <c r="F4" i="2"/>
  <c r="C16" i="2"/>
  <c r="C18" i="2" s="1"/>
  <c r="F9" i="2"/>
  <c r="G9" i="2"/>
  <c r="F10" i="2"/>
  <c r="F11" i="2"/>
  <c r="F7" i="2"/>
  <c r="C15" i="2"/>
  <c r="F12" i="2"/>
</calcChain>
</file>

<file path=xl/sharedStrings.xml><?xml version="1.0" encoding="utf-8"?>
<sst xmlns="http://schemas.openxmlformats.org/spreadsheetml/2006/main" count="25" uniqueCount="23">
  <si>
    <t>Roue</t>
  </si>
  <si>
    <t>Element</t>
  </si>
  <si>
    <t>Masse (g)</t>
  </si>
  <si>
    <t>Moteurs</t>
  </si>
  <si>
    <t>Base alu.</t>
  </si>
  <si>
    <t>Electronique</t>
  </si>
  <si>
    <t>Piliers M3X45</t>
  </si>
  <si>
    <t>Plastique étage1</t>
  </si>
  <si>
    <t>Piliers M3X23</t>
  </si>
  <si>
    <t>Etage sup. + batterie</t>
  </si>
  <si>
    <t>TOTAL</t>
  </si>
  <si>
    <t>TOT</t>
  </si>
  <si>
    <t>% masse totale</t>
  </si>
  <si>
    <t>Position du CDM</t>
  </si>
  <si>
    <t>cm</t>
  </si>
  <si>
    <t>Position du CDM corps seul</t>
  </si>
  <si>
    <t>Masse du corps seul</t>
  </si>
  <si>
    <t>Hauteur CDM (cm)</t>
  </si>
  <si>
    <t>g</t>
  </si>
  <si>
    <t>Inertie Corps (CDG)</t>
  </si>
  <si>
    <t>Inertie corps (décalée)</t>
  </si>
  <si>
    <t>Levier corps sur roue</t>
  </si>
  <si>
    <t>Couplage roue/arbre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</si>
</sst>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600620</xdr:colOff>
      <xdr:row>58</xdr:row>
      <xdr:rowOff>67762</xdr:rowOff>
    </xdr:from>
    <xdr:to>
      <xdr:col>6</xdr:col>
      <xdr:colOff>229418</xdr:colOff>
      <xdr:row>63</xdr:row>
      <xdr:rowOff>63003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C606FF-A686-4BC5-9A2D-0BE95D24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620" y="10327548"/>
          <a:ext cx="6037762" cy="885420"/>
        </a:xfrm>
        <a:prstGeom prst="rect">
          <a:avLst/>
        </a:prstGeom>
      </xdr:spPr>
    </xdr:pic>
    <xdr:clientData/>
  </xdr:twoCellAnchor>
  <xdr:twoCellAnchor editAs="oneCell">
    <xdr:from>
      <xdr:col>0</xdr:col>
      <xdr:colOff>717913</xdr:colOff>
      <xdr:row>75</xdr:row>
      <xdr:rowOff>3464</xdr:rowOff>
    </xdr:from>
    <xdr:to>
      <xdr:col>5</xdr:col>
      <xdr:colOff>343261</xdr:colOff>
      <xdr:row>83</xdr:row>
      <xdr:rowOff>123937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A454176-DDA5-482F-8640-F042A50D2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913" y="13270428"/>
          <a:ext cx="4768848" cy="1529901"/>
        </a:xfrm>
        <a:prstGeom prst="rect">
          <a:avLst/>
        </a:prstGeom>
      </xdr:spPr>
    </xdr:pic>
    <xdr:clientData/>
  </xdr:twoCellAnchor>
  <xdr:twoCellAnchor editAs="oneCell">
    <xdr:from>
      <xdr:col>0</xdr:col>
      <xdr:colOff>649333</xdr:colOff>
      <xdr:row>64</xdr:row>
      <xdr:rowOff>60960</xdr:rowOff>
    </xdr:from>
    <xdr:to>
      <xdr:col>6</xdr:col>
      <xdr:colOff>701671</xdr:colOff>
      <xdr:row>74</xdr:row>
      <xdr:rowOff>2150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B045E55-48C2-4EE6-853D-94DD4C23F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333" y="11382103"/>
          <a:ext cx="6453682" cy="1710118"/>
        </a:xfrm>
        <a:prstGeom prst="rect">
          <a:avLst/>
        </a:prstGeom>
      </xdr:spPr>
    </xdr:pic>
    <xdr:clientData/>
  </xdr:twoCellAnchor>
  <xdr:twoCellAnchor editAs="oneCell">
    <xdr:from>
      <xdr:col>0</xdr:col>
      <xdr:colOff>667840</xdr:colOff>
      <xdr:row>40</xdr:row>
      <xdr:rowOff>20981</xdr:rowOff>
    </xdr:from>
    <xdr:to>
      <xdr:col>6</xdr:col>
      <xdr:colOff>281940</xdr:colOff>
      <xdr:row>56</xdr:row>
      <xdr:rowOff>56466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25AE326-5BC3-4AA2-BBA8-B0A62B762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7840" y="7096695"/>
          <a:ext cx="6026874" cy="2861961"/>
        </a:xfrm>
        <a:prstGeom prst="rect">
          <a:avLst/>
        </a:prstGeom>
      </xdr:spPr>
    </xdr:pic>
    <xdr:clientData/>
  </xdr:twoCellAnchor>
  <xdr:twoCellAnchor editAs="oneCell">
    <xdr:from>
      <xdr:col>0</xdr:col>
      <xdr:colOff>787004</xdr:colOff>
      <xdr:row>18</xdr:row>
      <xdr:rowOff>133384</xdr:rowOff>
    </xdr:from>
    <xdr:to>
      <xdr:col>6</xdr:col>
      <xdr:colOff>279763</xdr:colOff>
      <xdr:row>39</xdr:row>
      <xdr:rowOff>49699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29A8ED8-8994-4D25-89F9-8B4D5AE2C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922333" y="2182126"/>
          <a:ext cx="3623445" cy="5894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8982-7863-44C5-8A8E-48F8180E435A}">
  <sheetPr>
    <pageSetUpPr fitToPage="1"/>
  </sheetPr>
  <dimension ref="B3:K18"/>
  <sheetViews>
    <sheetView tabSelected="1" zoomScale="70" zoomScaleNormal="70" workbookViewId="0">
      <selection activeCell="B2" sqref="B2"/>
    </sheetView>
  </sheetViews>
  <sheetFormatPr baseColWidth="10" defaultRowHeight="14.4" x14ac:dyDescent="0.3"/>
  <cols>
    <col min="2" max="2" width="23.5546875" customWidth="1"/>
    <col min="5" max="5" width="16.88671875" customWidth="1"/>
    <col min="6" max="6" width="18.44140625" customWidth="1"/>
  </cols>
  <sheetData>
    <row r="3" spans="2:11" x14ac:dyDescent="0.3">
      <c r="B3" s="6" t="s">
        <v>1</v>
      </c>
      <c r="C3" s="6" t="s">
        <v>2</v>
      </c>
      <c r="D3" s="6" t="s">
        <v>11</v>
      </c>
      <c r="E3" s="6" t="s">
        <v>17</v>
      </c>
      <c r="F3" s="6" t="s">
        <v>12</v>
      </c>
    </row>
    <row r="4" spans="2:11" x14ac:dyDescent="0.3">
      <c r="B4" s="2" t="s">
        <v>0</v>
      </c>
      <c r="C4" s="3">
        <f>2*30</f>
        <v>60</v>
      </c>
      <c r="D4" s="8">
        <f>C4+C5</f>
        <v>86</v>
      </c>
      <c r="E4" s="8">
        <v>3.25</v>
      </c>
      <c r="F4" s="10">
        <f>D4/$C$14</f>
        <v>0.11286089238845144</v>
      </c>
    </row>
    <row r="5" spans="2:11" x14ac:dyDescent="0.3">
      <c r="B5" s="2" t="s">
        <v>22</v>
      </c>
      <c r="C5" s="3">
        <f>2*13</f>
        <v>26</v>
      </c>
      <c r="D5" s="9"/>
      <c r="E5" s="9"/>
      <c r="F5" s="11"/>
    </row>
    <row r="6" spans="2:11" x14ac:dyDescent="0.3">
      <c r="B6" s="2" t="s">
        <v>3</v>
      </c>
      <c r="C6" s="3">
        <f>2*147</f>
        <v>294</v>
      </c>
      <c r="D6" s="4">
        <f>C6</f>
        <v>294</v>
      </c>
      <c r="E6" s="4">
        <f>3.25+0.7</f>
        <v>3.95</v>
      </c>
      <c r="F6" s="5">
        <f t="shared" ref="F6:F12" si="0">D6/$C$14</f>
        <v>0.38582677165354329</v>
      </c>
    </row>
    <row r="7" spans="2:11" x14ac:dyDescent="0.3">
      <c r="B7" s="2" t="s">
        <v>4</v>
      </c>
      <c r="C7" s="3">
        <v>104</v>
      </c>
      <c r="D7" s="4">
        <v>104</v>
      </c>
      <c r="E7" s="4">
        <v>7</v>
      </c>
      <c r="F7" s="5">
        <f t="shared" si="0"/>
        <v>0.13648293963254593</v>
      </c>
      <c r="G7">
        <f>E7-E6</f>
        <v>3.05</v>
      </c>
    </row>
    <row r="8" spans="2:11" x14ac:dyDescent="0.3">
      <c r="B8" s="2" t="s">
        <v>5</v>
      </c>
      <c r="C8" s="3">
        <v>50</v>
      </c>
      <c r="D8" s="4">
        <v>50</v>
      </c>
      <c r="E8" s="4">
        <v>8.25</v>
      </c>
      <c r="F8" s="5">
        <f t="shared" si="0"/>
        <v>6.5616797900262466E-2</v>
      </c>
      <c r="G8">
        <f t="shared" ref="G8:G12" si="1">E8-E7</f>
        <v>1.25</v>
      </c>
    </row>
    <row r="9" spans="2:11" x14ac:dyDescent="0.3">
      <c r="B9" s="2" t="s">
        <v>6</v>
      </c>
      <c r="C9" s="3">
        <f>4*5</f>
        <v>20</v>
      </c>
      <c r="D9" s="4">
        <v>20</v>
      </c>
      <c r="E9" s="4">
        <f>E7+(E10-E7)/2</f>
        <v>9.25</v>
      </c>
      <c r="F9" s="5">
        <f t="shared" si="0"/>
        <v>2.6246719160104987E-2</v>
      </c>
      <c r="G9">
        <f t="shared" si="1"/>
        <v>1</v>
      </c>
    </row>
    <row r="10" spans="2:11" x14ac:dyDescent="0.3">
      <c r="B10" s="2" t="s">
        <v>7</v>
      </c>
      <c r="C10" s="3">
        <v>53</v>
      </c>
      <c r="D10" s="4">
        <v>40</v>
      </c>
      <c r="E10" s="4">
        <v>11.5</v>
      </c>
      <c r="F10" s="5">
        <f t="shared" si="0"/>
        <v>5.2493438320209973E-2</v>
      </c>
      <c r="G10">
        <f t="shared" si="1"/>
        <v>2.25</v>
      </c>
    </row>
    <row r="11" spans="2:11" x14ac:dyDescent="0.3">
      <c r="B11" s="2" t="s">
        <v>8</v>
      </c>
      <c r="C11" s="3">
        <f>4*2</f>
        <v>8</v>
      </c>
      <c r="D11" s="4">
        <v>8</v>
      </c>
      <c r="E11" s="4">
        <v>13.875</v>
      </c>
      <c r="F11" s="5">
        <f t="shared" si="0"/>
        <v>1.0498687664041995E-2</v>
      </c>
      <c r="G11">
        <f t="shared" si="1"/>
        <v>2.375</v>
      </c>
    </row>
    <row r="12" spans="2:11" x14ac:dyDescent="0.3">
      <c r="B12" s="2" t="s">
        <v>9</v>
      </c>
      <c r="C12" s="3">
        <v>147</v>
      </c>
      <c r="D12" s="4">
        <v>147</v>
      </c>
      <c r="E12" s="4">
        <v>14.5</v>
      </c>
      <c r="F12" s="5">
        <f t="shared" si="0"/>
        <v>0.19291338582677164</v>
      </c>
      <c r="G12">
        <f t="shared" si="1"/>
        <v>0.625</v>
      </c>
    </row>
    <row r="13" spans="2:11" x14ac:dyDescent="0.3">
      <c r="C13" s="1"/>
    </row>
    <row r="14" spans="2:11" x14ac:dyDescent="0.3">
      <c r="B14" t="s">
        <v>10</v>
      </c>
      <c r="C14" s="1">
        <f>SUM(C4:C12)</f>
        <v>762</v>
      </c>
    </row>
    <row r="15" spans="2:11" x14ac:dyDescent="0.3">
      <c r="B15" t="s">
        <v>13</v>
      </c>
      <c r="C15" s="7">
        <f>(1/C14)*(E4*D4 + E6*D6 + E7*D7 + E8*D8 + E9*D9 + E10*D10 + E11*D11 + E12*D12)</f>
        <v>7.1769028871391081</v>
      </c>
      <c r="D15" t="s">
        <v>14</v>
      </c>
      <c r="F15" t="s">
        <v>19</v>
      </c>
      <c r="G15">
        <f>1/12 * C17/1000 * (0.082^2 + (0.01*(E12-E6))^2 )</f>
        <v>1.0057894166666667E-3</v>
      </c>
    </row>
    <row r="16" spans="2:11" x14ac:dyDescent="0.3">
      <c r="B16" t="s">
        <v>15</v>
      </c>
      <c r="C16" s="7">
        <f>(1/SUM(D6:D12))*(E6*D6 + E7*D7 + E8*D8 + E9*D9 + E10*D10 + E11*D11 + E12*D12)</f>
        <v>7.8269984917043747</v>
      </c>
      <c r="D16" t="s">
        <v>14</v>
      </c>
      <c r="F16" t="s">
        <v>20</v>
      </c>
      <c r="G16">
        <f xml:space="preserve"> G15 + ( C17/1000 * (0.01*(C16-E4))^2)</f>
        <v>2.4219360837178013E-3</v>
      </c>
      <c r="K16">
        <f>0.85*0.676*(0.0388^2)</f>
        <v>8.6502582400000002E-4</v>
      </c>
    </row>
    <row r="17" spans="2:4" x14ac:dyDescent="0.3">
      <c r="B17" t="s">
        <v>16</v>
      </c>
      <c r="C17">
        <f>SUM(C6:C12)</f>
        <v>676</v>
      </c>
      <c r="D17" t="s">
        <v>18</v>
      </c>
    </row>
    <row r="18" spans="2:4" x14ac:dyDescent="0.3">
      <c r="B18" t="s">
        <v>21</v>
      </c>
      <c r="C18" s="7">
        <f>C16-(E4+0.7)</f>
        <v>3.8769984917043745</v>
      </c>
      <c r="D18" t="s">
        <v>14</v>
      </c>
    </row>
  </sheetData>
  <mergeCells count="3">
    <mergeCell ref="D4:D5"/>
    <mergeCell ref="E4:E5"/>
    <mergeCell ref="F4:F5"/>
  </mergeCells>
  <pageMargins left="0.7" right="0.7" top="0.75" bottom="0.75" header="0.3" footer="0.3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CDG et inerties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Richardeau</dc:creator>
  <cp:lastModifiedBy>Mathieu Freuville</cp:lastModifiedBy>
  <cp:lastPrinted>2025-11-23T12:35:00Z</cp:lastPrinted>
  <dcterms:created xsi:type="dcterms:W3CDTF">2025-02-21T09:20:42Z</dcterms:created>
  <dcterms:modified xsi:type="dcterms:W3CDTF">2025-11-23T12:35:40Z</dcterms:modified>
</cp:coreProperties>
</file>